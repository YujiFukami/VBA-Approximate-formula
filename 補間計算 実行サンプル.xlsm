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個人作業フォルダ\d開発\Github\VBA-Approximate-formula\"/>
    </mc:Choice>
  </mc:AlternateContent>
  <xr:revisionPtr revIDLastSave="0" documentId="13_ncr:1_{F994C2B5-9B75-4BF4-87BD-57D8E9CB6751}" xr6:coauthVersionLast="36" xr6:coauthVersionMax="36" xr10:uidLastSave="{00000000-0000-0000-0000-000000000000}"/>
  <bookViews>
    <workbookView xWindow="0" yWindow="0" windowWidth="22260" windowHeight="12648" xr2:uid="{00000000-000D-0000-FFFF-FFFF00000000}"/>
  </bookViews>
  <sheets>
    <sheet name="Sheet1" sheetId="1" r:id="rId1"/>
  </sheets>
  <functionGroups builtInGroupCount="19"/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3" i="1" l="1"/>
  <c r="O46" i="1" s="1"/>
  <c r="O49" i="1" s="1"/>
  <c r="O52" i="1" s="1"/>
  <c r="O55" i="1" s="1"/>
  <c r="O58" i="1" s="1"/>
  <c r="O61" i="1" s="1"/>
  <c r="O64" i="1" s="1"/>
  <c r="O67" i="1" s="1"/>
  <c r="O70" i="1" s="1"/>
  <c r="L39" i="1"/>
  <c r="L45" i="1"/>
  <c r="L66" i="1"/>
  <c r="L63" i="1"/>
  <c r="L51" i="1"/>
  <c r="L60" i="1"/>
  <c r="L57" i="1"/>
  <c r="L54" i="1"/>
  <c r="L48" i="1"/>
  <c r="L67" i="1" l="1"/>
  <c r="L64" i="1"/>
  <c r="L61" i="1"/>
  <c r="L58" i="1"/>
  <c r="L55" i="1"/>
  <c r="L52" i="1"/>
  <c r="L49" i="1"/>
  <c r="L46" i="1"/>
  <c r="M43" i="1"/>
  <c r="M46" i="1" s="1"/>
  <c r="M49" i="1" s="1"/>
  <c r="M52" i="1" s="1"/>
  <c r="M55" i="1" s="1"/>
  <c r="M58" i="1" s="1"/>
  <c r="M61" i="1" s="1"/>
  <c r="M64" i="1" s="1"/>
  <c r="M67" i="1" s="1"/>
  <c r="L37" i="1"/>
  <c r="M36" i="1"/>
  <c r="E39" i="1"/>
  <c r="E40" i="1"/>
  <c r="E41" i="1"/>
  <c r="E42" i="1"/>
  <c r="E43" i="1"/>
  <c r="E44" i="1"/>
  <c r="E45" i="1"/>
  <c r="E46" i="1"/>
  <c r="E47" i="1"/>
  <c r="E38" i="1"/>
  <c r="E36" i="1"/>
  <c r="L36" i="1" s="1"/>
  <c r="B9" i="1"/>
  <c r="M3" i="1" a="1"/>
  <c r="J3" i="1" a="1"/>
  <c r="I3" i="1" a="1"/>
  <c r="L42" i="1"/>
  <c r="F3" i="1"/>
  <c r="F4" i="1"/>
  <c r="M37" i="1" l="1"/>
  <c r="L43" i="1"/>
  <c r="L40" i="1"/>
  <c r="M3" i="1"/>
  <c r="M7" i="1"/>
  <c r="M11" i="1"/>
  <c r="M5" i="1"/>
  <c r="M13" i="1"/>
  <c r="M6" i="1"/>
  <c r="N10" i="1"/>
  <c r="N3" i="1"/>
  <c r="N7" i="1"/>
  <c r="N11" i="1"/>
  <c r="N12" i="1"/>
  <c r="M9" i="1"/>
  <c r="N13" i="1"/>
  <c r="N6" i="1"/>
  <c r="M4" i="1"/>
  <c r="M8" i="1"/>
  <c r="M12" i="1"/>
  <c r="N4" i="1"/>
  <c r="N5" i="1"/>
  <c r="N9" i="1"/>
  <c r="M10" i="1"/>
  <c r="N8" i="1"/>
  <c r="J3" i="1"/>
  <c r="J11" i="1"/>
  <c r="J12" i="1"/>
  <c r="J5" i="1"/>
  <c r="J6" i="1"/>
  <c r="J7" i="1"/>
  <c r="J8" i="1"/>
  <c r="J9" i="1"/>
  <c r="J4" i="1"/>
  <c r="J10" i="1"/>
  <c r="I3" i="1"/>
  <c r="I11" i="1"/>
  <c r="I12" i="1"/>
  <c r="I5" i="1"/>
  <c r="I6" i="1"/>
  <c r="I9" i="1"/>
  <c r="I4" i="1"/>
  <c r="I8" i="1"/>
  <c r="I10" i="1"/>
  <c r="I7" i="1"/>
  <c r="N48" i="1"/>
  <c r="O48" i="1"/>
  <c r="O54" i="1"/>
  <c r="M48" i="1"/>
  <c r="O60" i="1"/>
  <c r="N42" i="1"/>
  <c r="M63" i="1"/>
  <c r="O39" i="1"/>
  <c r="N54" i="1"/>
  <c r="M51" i="1"/>
  <c r="N39" i="1"/>
  <c r="O51" i="1"/>
  <c r="N66" i="1"/>
  <c r="M66" i="1"/>
  <c r="N51" i="1"/>
  <c r="O63" i="1"/>
  <c r="O42" i="1"/>
  <c r="M45" i="1"/>
  <c r="M57" i="1"/>
  <c r="N63" i="1"/>
  <c r="O66" i="1"/>
  <c r="O45" i="1"/>
  <c r="M54" i="1"/>
  <c r="N45" i="1"/>
  <c r="N57" i="1"/>
  <c r="O57" i="1"/>
  <c r="M39" i="1"/>
  <c r="M42" i="1"/>
  <c r="N69" i="1"/>
  <c r="O69" i="1"/>
  <c r="N60" i="1"/>
  <c r="M60" i="1"/>
  <c r="N61" i="1" l="1"/>
  <c r="N70" i="1"/>
  <c r="N58" i="1"/>
  <c r="N46" i="1"/>
  <c r="N64" i="1"/>
  <c r="N52" i="1"/>
  <c r="N67" i="1"/>
  <c r="N40" i="1"/>
  <c r="N55" i="1"/>
  <c r="N43" i="1"/>
  <c r="N49" i="1"/>
  <c r="E56" i="1"/>
  <c r="E59" i="1"/>
  <c r="E55" i="1"/>
  <c r="E51" i="1"/>
  <c r="E57" i="1"/>
  <c r="E53" i="1"/>
  <c r="E58" i="1"/>
  <c r="E49" i="1"/>
  <c r="E54" i="1"/>
  <c r="E50" i="1"/>
  <c r="E5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深見 祐士 YF.</author>
  </authors>
  <commentList>
    <comment ref="F3" authorId="0" shapeId="0" xr:uid="{F44FE409-30F9-4964-A29C-E7E2B1B12682}">
      <text>
        <r>
          <rPr>
            <b/>
            <sz val="12"/>
            <color indexed="81"/>
            <rFont val="MS P ゴシック"/>
            <family val="3"/>
            <charset val="128"/>
          </rPr>
          <t>=Spline(B3:B9,C3:C9,E3)</t>
        </r>
      </text>
    </comment>
    <comment ref="I3" authorId="0" shapeId="0" xr:uid="{C6CB4AA4-4582-451F-9A85-BE916E2D5647}">
      <text>
        <r>
          <rPr>
            <b/>
            <sz val="12"/>
            <color indexed="81"/>
            <rFont val="MS P ゴシック"/>
            <family val="3"/>
            <charset val="128"/>
          </rPr>
          <t>{=SplineByArrayX1D(B3:B9,C3:C9,H3:H12)}</t>
        </r>
      </text>
    </comment>
    <comment ref="J3" authorId="0" shapeId="0" xr:uid="{1A8841CC-2E98-41FA-AC3B-D0BB5C1C2D19}">
      <text>
        <r>
          <rPr>
            <b/>
            <sz val="12"/>
            <color indexed="81"/>
            <rFont val="MS P ゴシック"/>
            <family val="3"/>
            <charset val="128"/>
          </rPr>
          <t>=SplineXYByArrayX1D(B3:C9,H3:H12)</t>
        </r>
      </text>
    </comment>
    <comment ref="M3" authorId="0" shapeId="0" xr:uid="{38A00BD8-1B25-4660-8F24-39F035583E33}">
      <text>
        <r>
          <rPr>
            <b/>
            <sz val="12"/>
            <color indexed="81"/>
            <rFont val="MS P ゴシック"/>
            <family val="3"/>
            <charset val="128"/>
          </rPr>
          <t>{=SplineXYPara(B3:C9,L3)}</t>
        </r>
      </text>
    </comment>
    <comment ref="F4" authorId="0" shapeId="0" xr:uid="{2585C702-7B52-41F1-B94C-A94E15FA92C4}">
      <text>
        <r>
          <rPr>
            <b/>
            <sz val="12"/>
            <color indexed="81"/>
            <rFont val="MS P ゴシック"/>
            <family val="3"/>
            <charset val="128"/>
          </rPr>
          <t>=SplineXY(B3:C9,E3)</t>
        </r>
      </text>
    </comment>
  </commentList>
</comments>
</file>

<file path=xl/sharedStrings.xml><?xml version="1.0" encoding="utf-8"?>
<sst xmlns="http://schemas.openxmlformats.org/spreadsheetml/2006/main" count="13" uniqueCount="13">
  <si>
    <t>X</t>
    <phoneticPr fontId="1"/>
  </si>
  <si>
    <t>Y</t>
    <phoneticPr fontId="1"/>
  </si>
  <si>
    <t>入力X</t>
    <rPh sb="0" eb="2">
      <t>ニュウリョク</t>
    </rPh>
    <phoneticPr fontId="1"/>
  </si>
  <si>
    <t>出力Y</t>
    <rPh sb="0" eb="2">
      <t>シュツリョク</t>
    </rPh>
    <phoneticPr fontId="1"/>
  </si>
  <si>
    <t>←Spline</t>
    <phoneticPr fontId="1"/>
  </si>
  <si>
    <t>←SplineXY</t>
    <phoneticPr fontId="1"/>
  </si>
  <si>
    <t>↓SplineByArrayX1D</t>
    <phoneticPr fontId="1"/>
  </si>
  <si>
    <t>↓SplineXYByArrayX1D</t>
    <phoneticPr fontId="1"/>
  </si>
  <si>
    <t>入力Xリスト</t>
    <rPh sb="0" eb="2">
      <t>ニュウリョク</t>
    </rPh>
    <phoneticPr fontId="1"/>
  </si>
  <si>
    <t>分割数N</t>
    <rPh sb="0" eb="3">
      <t>ブンカツスウ</t>
    </rPh>
    <phoneticPr fontId="1"/>
  </si>
  <si>
    <t>↓SplineXYPara</t>
    <phoneticPr fontId="1"/>
  </si>
  <si>
    <t>作図用</t>
    <rPh sb="0" eb="3">
      <t>サクズヨウ</t>
    </rPh>
    <phoneticPr fontId="1"/>
  </si>
  <si>
    <t>作図用2</t>
    <rPh sb="0" eb="3">
      <t>サクズヨウ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</si>
</sst>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2"/>
      <color indexed="81"/>
      <name val="MS P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1" xfId="0" applyFill="1" applyBorder="1"/>
    <xf numFmtId="0" fontId="0" fillId="4" borderId="1" xfId="0" applyFill="1" applyBorder="1"/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3" borderId="13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プロシージャ</a:t>
            </a:r>
            <a:r>
              <a:rPr lang="en-US" altLang="ja-JP"/>
              <a:t>Spline, SplineXY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chemeClr val="accent5">
                  <a:lumMod val="40000"/>
                  <a:lumOff val="6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10"/>
              <c:spPr>
                <a:solidFill>
                  <a:schemeClr val="accent5">
                    <a:lumMod val="40000"/>
                    <a:lumOff val="60000"/>
                  </a:scheme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64A1-4627-8A8C-E268D1F5A932}"/>
              </c:ext>
            </c:extLst>
          </c:dPt>
          <c:xVal>
            <c:numRef>
              <c:f>Sheet1!$B$3:$B$9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Sheet1!$C$3:$C$9</c:f>
              <c:numCache>
                <c:formatCode>General</c:formatCode>
                <c:ptCount val="7"/>
                <c:pt idx="0">
                  <c:v>5.9325576923766503</c:v>
                </c:pt>
                <c:pt idx="1">
                  <c:v>9.9930826853677903</c:v>
                </c:pt>
                <c:pt idx="2">
                  <c:v>5.5044328013839001</c:v>
                </c:pt>
                <c:pt idx="3">
                  <c:v>5.6087701392898301</c:v>
                </c:pt>
                <c:pt idx="4">
                  <c:v>1.5168212366590701</c:v>
                </c:pt>
                <c:pt idx="5">
                  <c:v>8.1873863462790197</c:v>
                </c:pt>
                <c:pt idx="6">
                  <c:v>4.6436391218061273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A1-4627-8A8C-E268D1F5A932}"/>
            </c:ext>
          </c:extLst>
        </c:ser>
        <c:ser>
          <c:idx val="1"/>
          <c:order val="1"/>
          <c:tx>
            <c:strRef>
              <c:f>Sheet1!$G$3</c:f>
              <c:strCache>
                <c:ptCount val="1"/>
                <c:pt idx="0">
                  <c:v>←Spline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6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5.5601890464275789E-3"/>
                  <c:y val="-0.11809523809523817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4A1-4627-8A8C-E268D1F5A932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Sheet1!$E$3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Sheet1!$F$3</c:f>
              <c:numCache>
                <c:formatCode>General</c:formatCode>
                <c:ptCount val="1"/>
                <c:pt idx="0">
                  <c:v>2.9881228453742144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4A1-4627-8A8C-E268D1F5A932}"/>
            </c:ext>
          </c:extLst>
        </c:ser>
        <c:ser>
          <c:idx val="2"/>
          <c:order val="2"/>
          <c:tx>
            <c:strRef>
              <c:f>Sheet1!$E$35</c:f>
              <c:strCache>
                <c:ptCount val="1"/>
                <c:pt idx="0">
                  <c:v>作図用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circle"/>
              <c:size val="10"/>
              <c:spPr>
                <a:solidFill>
                  <a:schemeClr val="accent4">
                    <a:lumMod val="40000"/>
                    <a:lumOff val="60000"/>
                  </a:schemeClr>
                </a:solidFill>
                <a:ln w="9525">
                  <a:noFill/>
                </a:ln>
                <a:effectLst/>
              </c:spPr>
            </c:marker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64A1-4627-8A8C-E268D1F5A932}"/>
              </c:ext>
            </c:extLst>
          </c:dPt>
          <c:xVal>
            <c:numRef>
              <c:f>Sheet1!$E$36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Sheet1!$F$36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4A1-4627-8A8C-E268D1F5A932}"/>
            </c:ext>
          </c:extLst>
        </c:ser>
        <c:ser>
          <c:idx val="3"/>
          <c:order val="3"/>
          <c:tx>
            <c:strRef>
              <c:f>Sheet1!$L$35</c:f>
              <c:strCache>
                <c:ptCount val="1"/>
                <c:pt idx="0">
                  <c:v>作図用2</c:v>
                </c:pt>
              </c:strCache>
            </c:strRef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Sheet1!$L$36:$L$37</c:f>
              <c:numCache>
                <c:formatCode>General</c:formatCode>
                <c:ptCount val="2"/>
                <c:pt idx="0">
                  <c:v>3.5</c:v>
                </c:pt>
                <c:pt idx="1">
                  <c:v>3.5</c:v>
                </c:pt>
              </c:numCache>
            </c:numRef>
          </c:xVal>
          <c:yVal>
            <c:numRef>
              <c:f>Sheet1!$M$36:$M$37</c:f>
              <c:numCache>
                <c:formatCode>General</c:formatCode>
                <c:ptCount val="2"/>
                <c:pt idx="0">
                  <c:v>0</c:v>
                </c:pt>
                <c:pt idx="1">
                  <c:v>2.9881228453742144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4A1-4627-8A8C-E268D1F5A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580776"/>
        <c:axId val="498579136"/>
      </c:scatterChart>
      <c:valAx>
        <c:axId val="498580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X</a:t>
                </a:r>
                <a:endParaRPr lang="ja-JP" altLang="en-US"/>
              </a:p>
            </c:rich>
          </c:tx>
          <c:layout>
            <c:manualLayout>
              <c:xMode val="edge"/>
              <c:yMode val="edge"/>
              <c:x val="0.52835400505092989"/>
              <c:y val="0.909242447056322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8579136"/>
        <c:crosses val="autoZero"/>
        <c:crossBetween val="midCat"/>
      </c:valAx>
      <c:valAx>
        <c:axId val="498579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Y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8580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プロシージャ</a:t>
            </a:r>
            <a:endParaRPr lang="en-US" altLang="ja-JP"/>
          </a:p>
          <a:p>
            <a:pPr>
              <a:defRPr/>
            </a:pPr>
            <a:r>
              <a:rPr lang="en-US" altLang="ja-JP"/>
              <a:t>SplineByArrayX1D, SplineXYByArrayX1D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chemeClr val="accent5">
                  <a:lumMod val="40000"/>
                  <a:lumOff val="6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10"/>
              <c:spPr>
                <a:solidFill>
                  <a:schemeClr val="accent5">
                    <a:lumMod val="40000"/>
                    <a:lumOff val="60000"/>
                  </a:scheme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F26F-4A0D-BEC4-52AD36EC9FF6}"/>
              </c:ext>
            </c:extLst>
          </c:dPt>
          <c:xVal>
            <c:numRef>
              <c:f>Sheet1!$B$3:$B$9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Sheet1!$C$3:$C$9</c:f>
              <c:numCache>
                <c:formatCode>General</c:formatCode>
                <c:ptCount val="7"/>
                <c:pt idx="0">
                  <c:v>5.9325576923766503</c:v>
                </c:pt>
                <c:pt idx="1">
                  <c:v>9.9930826853677903</c:v>
                </c:pt>
                <c:pt idx="2">
                  <c:v>5.5044328013839001</c:v>
                </c:pt>
                <c:pt idx="3">
                  <c:v>5.6087701392898301</c:v>
                </c:pt>
                <c:pt idx="4">
                  <c:v>1.5168212366590701</c:v>
                </c:pt>
                <c:pt idx="5">
                  <c:v>8.1873863462790197</c:v>
                </c:pt>
                <c:pt idx="6">
                  <c:v>4.6436391218061273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6F-4A0D-BEC4-52AD36EC9FF6}"/>
            </c:ext>
          </c:extLst>
        </c:ser>
        <c:ser>
          <c:idx val="1"/>
          <c:order val="1"/>
          <c:tx>
            <c:strRef>
              <c:f>Sheet1!$G$3</c:f>
              <c:strCache>
                <c:ptCount val="1"/>
                <c:pt idx="0">
                  <c:v>←Spline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Sheet1!$H$3:$H$12</c:f>
              <c:numCache>
                <c:formatCode>General</c:formatCode>
                <c:ptCount val="10"/>
                <c:pt idx="0">
                  <c:v>0.70470973742349496</c:v>
                </c:pt>
                <c:pt idx="1">
                  <c:v>1.1560511982687101</c:v>
                </c:pt>
                <c:pt idx="2">
                  <c:v>1.68490822086298</c:v>
                </c:pt>
                <c:pt idx="3">
                  <c:v>2.1392547386343099</c:v>
                </c:pt>
                <c:pt idx="4">
                  <c:v>2.5835009144888099</c:v>
                </c:pt>
                <c:pt idx="5">
                  <c:v>3.1323095458208798</c:v>
                </c:pt>
                <c:pt idx="6">
                  <c:v>3.2762517143659302</c:v>
                </c:pt>
                <c:pt idx="7">
                  <c:v>3.96995547976061</c:v>
                </c:pt>
                <c:pt idx="8">
                  <c:v>4.5878879819555998</c:v>
                </c:pt>
                <c:pt idx="9">
                  <c:v>5.2947034641652602</c:v>
                </c:pt>
              </c:numCache>
            </c:numRef>
          </c:xVal>
          <c:yVal>
            <c:numRef>
              <c:f>Sheet1!$I$3:$I$12</c:f>
              <c:numCache>
                <c:formatCode>General</c:formatCode>
                <c:ptCount val="10"/>
                <c:pt idx="0">
                  <c:v>9.0300024348120544</c:v>
                </c:pt>
                <c:pt idx="1">
                  <c:v>9.5801786972684813</c:v>
                </c:pt>
                <c:pt idx="2">
                  <c:v>6.7852750746420449</c:v>
                </c:pt>
                <c:pt idx="3">
                  <c:v>5.3308317753624825</c:v>
                </c:pt>
                <c:pt idx="4">
                  <c:v>5.7540541073973905</c:v>
                </c:pt>
                <c:pt idx="5">
                  <c:v>5.1005345054442879</c:v>
                </c:pt>
                <c:pt idx="6">
                  <c:v>4.3335933904030348</c:v>
                </c:pt>
                <c:pt idx="7">
                  <c:v>1.4763932427634412</c:v>
                </c:pt>
                <c:pt idx="8">
                  <c:v>5.3668864404182655</c:v>
                </c:pt>
                <c:pt idx="9">
                  <c:v>7.4523850453265199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26F-4A0D-BEC4-52AD36EC9FF6}"/>
            </c:ext>
          </c:extLst>
        </c:ser>
        <c:ser>
          <c:idx val="2"/>
          <c:order val="2"/>
          <c:tx>
            <c:strRef>
              <c:f>Sheet1!$E$35</c:f>
              <c:strCache>
                <c:ptCount val="1"/>
                <c:pt idx="0">
                  <c:v>作図用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4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Sheet1!$E$38:$E$47</c:f>
              <c:numCache>
                <c:formatCode>General</c:formatCode>
                <c:ptCount val="10"/>
                <c:pt idx="0">
                  <c:v>0.70470973742349496</c:v>
                </c:pt>
                <c:pt idx="1">
                  <c:v>1.1560511982687101</c:v>
                </c:pt>
                <c:pt idx="2">
                  <c:v>1.68490822086298</c:v>
                </c:pt>
                <c:pt idx="3">
                  <c:v>2.1392547386343099</c:v>
                </c:pt>
                <c:pt idx="4">
                  <c:v>2.5835009144888099</c:v>
                </c:pt>
                <c:pt idx="5">
                  <c:v>3.1323095458208798</c:v>
                </c:pt>
                <c:pt idx="6">
                  <c:v>3.2762517143659302</c:v>
                </c:pt>
                <c:pt idx="7">
                  <c:v>3.96995547976061</c:v>
                </c:pt>
                <c:pt idx="8">
                  <c:v>4.5878879819555998</c:v>
                </c:pt>
                <c:pt idx="9">
                  <c:v>5.2947034641652602</c:v>
                </c:pt>
              </c:numCache>
            </c:numRef>
          </c:xVal>
          <c:yVal>
            <c:numRef>
              <c:f>Sheet1!$F$38:$F$47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26F-4A0D-BEC4-52AD36EC9FF6}"/>
            </c:ext>
          </c:extLst>
        </c:ser>
        <c:ser>
          <c:idx val="3"/>
          <c:order val="3"/>
          <c:tx>
            <c:strRef>
              <c:f>Sheet1!$L$35</c:f>
              <c:strCache>
                <c:ptCount val="1"/>
                <c:pt idx="0">
                  <c:v>作図用2</c:v>
                </c:pt>
              </c:strCache>
            </c:strRef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Sheet1!$L$39:$L$67</c:f>
              <c:numCache>
                <c:formatCode>General</c:formatCode>
                <c:ptCount val="29"/>
                <c:pt idx="0">
                  <c:v>0.70470973742349496</c:v>
                </c:pt>
                <c:pt idx="1">
                  <c:v>0.70470973742349496</c:v>
                </c:pt>
                <c:pt idx="3">
                  <c:v>1.1560511982687101</c:v>
                </c:pt>
                <c:pt idx="4">
                  <c:v>1.1560511982687101</c:v>
                </c:pt>
                <c:pt idx="6">
                  <c:v>1.68490822086298</c:v>
                </c:pt>
                <c:pt idx="7">
                  <c:v>1.68490822086298</c:v>
                </c:pt>
                <c:pt idx="9">
                  <c:v>2.1392547386343099</c:v>
                </c:pt>
                <c:pt idx="10">
                  <c:v>2.1392547386343099</c:v>
                </c:pt>
                <c:pt idx="12">
                  <c:v>2.5835009144888099</c:v>
                </c:pt>
                <c:pt idx="13">
                  <c:v>2.5835009144888099</c:v>
                </c:pt>
                <c:pt idx="15">
                  <c:v>3.1323095458208798</c:v>
                </c:pt>
                <c:pt idx="16">
                  <c:v>3.1323095458208798</c:v>
                </c:pt>
                <c:pt idx="18">
                  <c:v>3.2762517143659302</c:v>
                </c:pt>
                <c:pt idx="19">
                  <c:v>3.2762517143659302</c:v>
                </c:pt>
                <c:pt idx="21">
                  <c:v>3.96995547976061</c:v>
                </c:pt>
                <c:pt idx="22">
                  <c:v>3.96995547976061</c:v>
                </c:pt>
                <c:pt idx="24">
                  <c:v>4.5878879819555998</c:v>
                </c:pt>
                <c:pt idx="25">
                  <c:v>4.5878879819555998</c:v>
                </c:pt>
                <c:pt idx="27">
                  <c:v>5.2947034641652602</c:v>
                </c:pt>
                <c:pt idx="28">
                  <c:v>5.2947034641652602</c:v>
                </c:pt>
              </c:numCache>
            </c:numRef>
          </c:xVal>
          <c:yVal>
            <c:numRef>
              <c:f>Sheet1!$M$39:$M$67</c:f>
              <c:numCache>
                <c:formatCode>General</c:formatCode>
                <c:ptCount val="29"/>
                <c:pt idx="0">
                  <c:v>9.0300024348120544</c:v>
                </c:pt>
                <c:pt idx="1">
                  <c:v>0</c:v>
                </c:pt>
                <c:pt idx="3">
                  <c:v>9.5801786972684813</c:v>
                </c:pt>
                <c:pt idx="4">
                  <c:v>0</c:v>
                </c:pt>
                <c:pt idx="6">
                  <c:v>6.7852750746420449</c:v>
                </c:pt>
                <c:pt idx="7">
                  <c:v>0</c:v>
                </c:pt>
                <c:pt idx="9">
                  <c:v>5.3308317753624825</c:v>
                </c:pt>
                <c:pt idx="10">
                  <c:v>0</c:v>
                </c:pt>
                <c:pt idx="12">
                  <c:v>5.7540541073973905</c:v>
                </c:pt>
                <c:pt idx="13">
                  <c:v>0</c:v>
                </c:pt>
                <c:pt idx="15">
                  <c:v>5.1005345054442879</c:v>
                </c:pt>
                <c:pt idx="16">
                  <c:v>0</c:v>
                </c:pt>
                <c:pt idx="18">
                  <c:v>4.3335933904030348</c:v>
                </c:pt>
                <c:pt idx="19">
                  <c:v>0</c:v>
                </c:pt>
                <c:pt idx="21">
                  <c:v>1.4763932427634412</c:v>
                </c:pt>
                <c:pt idx="22">
                  <c:v>0</c:v>
                </c:pt>
                <c:pt idx="24">
                  <c:v>5.3668864404182655</c:v>
                </c:pt>
                <c:pt idx="25">
                  <c:v>0</c:v>
                </c:pt>
                <c:pt idx="27">
                  <c:v>7.4523850453265199</c:v>
                </c:pt>
                <c:pt idx="2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26F-4A0D-BEC4-52AD36EC9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580776"/>
        <c:axId val="498579136"/>
      </c:scatterChart>
      <c:valAx>
        <c:axId val="498580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X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8579136"/>
        <c:crosses val="autoZero"/>
        <c:crossBetween val="midCat"/>
      </c:valAx>
      <c:valAx>
        <c:axId val="498579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Y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8580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プロシージャ</a:t>
            </a:r>
            <a:r>
              <a:rPr lang="en-US" altLang="ja-JP"/>
              <a:t>SplinePara, SplineXYPara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chemeClr val="accent5">
                  <a:lumMod val="40000"/>
                  <a:lumOff val="6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10"/>
              <c:spPr>
                <a:solidFill>
                  <a:schemeClr val="accent5">
                    <a:lumMod val="40000"/>
                    <a:lumOff val="60000"/>
                  </a:scheme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A8EA-4BE8-B381-C0DFFDC40DA7}"/>
              </c:ext>
            </c:extLst>
          </c:dPt>
          <c:xVal>
            <c:numRef>
              <c:f>Sheet1!$B$3:$B$9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Sheet1!$C$3:$C$9</c:f>
              <c:numCache>
                <c:formatCode>General</c:formatCode>
                <c:ptCount val="7"/>
                <c:pt idx="0">
                  <c:v>5.9325576923766503</c:v>
                </c:pt>
                <c:pt idx="1">
                  <c:v>9.9930826853677903</c:v>
                </c:pt>
                <c:pt idx="2">
                  <c:v>5.5044328013839001</c:v>
                </c:pt>
                <c:pt idx="3">
                  <c:v>5.6087701392898301</c:v>
                </c:pt>
                <c:pt idx="4">
                  <c:v>1.5168212366590701</c:v>
                </c:pt>
                <c:pt idx="5">
                  <c:v>8.1873863462790197</c:v>
                </c:pt>
                <c:pt idx="6">
                  <c:v>4.6436391218061273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8EA-4BE8-B381-C0DFFDC40DA7}"/>
            </c:ext>
          </c:extLst>
        </c:ser>
        <c:ser>
          <c:idx val="1"/>
          <c:order val="1"/>
          <c:tx>
            <c:strRef>
              <c:f>Sheet1!$G$3</c:f>
              <c:strCache>
                <c:ptCount val="1"/>
                <c:pt idx="0">
                  <c:v>←Spline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Sheet1!$M$3:$M$13</c:f>
              <c:numCache>
                <c:formatCode>General</c:formatCode>
                <c:ptCount val="11"/>
                <c:pt idx="0">
                  <c:v>0</c:v>
                </c:pt>
                <c:pt idx="1">
                  <c:v>0.60000000000000009</c:v>
                </c:pt>
                <c:pt idx="2">
                  <c:v>1.2000000000000002</c:v>
                </c:pt>
                <c:pt idx="3">
                  <c:v>1.8</c:v>
                </c:pt>
                <c:pt idx="4">
                  <c:v>2.4000000000000004</c:v>
                </c:pt>
                <c:pt idx="5">
                  <c:v>3</c:v>
                </c:pt>
                <c:pt idx="6">
                  <c:v>3.6</c:v>
                </c:pt>
                <c:pt idx="7">
                  <c:v>4.2</c:v>
                </c:pt>
                <c:pt idx="8">
                  <c:v>4.8</c:v>
                </c:pt>
                <c:pt idx="9">
                  <c:v>5.3999999999999995</c:v>
                </c:pt>
                <c:pt idx="10">
                  <c:v>6</c:v>
                </c:pt>
              </c:numCache>
            </c:numRef>
          </c:xVal>
          <c:yVal>
            <c:numRef>
              <c:f>Sheet1!$N$3:$N$13</c:f>
              <c:numCache>
                <c:formatCode>General</c:formatCode>
                <c:ptCount val="11"/>
                <c:pt idx="0">
                  <c:v>5.9325576923766503</c:v>
                </c:pt>
                <c:pt idx="1">
                  <c:v>9.2772617479035926</c:v>
                </c:pt>
                <c:pt idx="2">
                  <c:v>9.4074444414395977</c:v>
                </c:pt>
                <c:pt idx="3">
                  <c:v>6.2056254557282458</c:v>
                </c:pt>
                <c:pt idx="4">
                  <c:v>5.4999700057227887</c:v>
                </c:pt>
                <c:pt idx="5">
                  <c:v>5.6087701392898301</c:v>
                </c:pt>
                <c:pt idx="6">
                  <c:v>2.4330160046527203</c:v>
                </c:pt>
                <c:pt idx="7">
                  <c:v>2.312831620175301</c:v>
                </c:pt>
                <c:pt idx="8">
                  <c:v>7.0745089971876087</c:v>
                </c:pt>
                <c:pt idx="9">
                  <c:v>7.9588275249539144</c:v>
                </c:pt>
                <c:pt idx="10">
                  <c:v>4.6436391218061273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8EA-4BE8-B381-C0DFFDC40DA7}"/>
            </c:ext>
          </c:extLst>
        </c:ser>
        <c:ser>
          <c:idx val="2"/>
          <c:order val="2"/>
          <c:tx>
            <c:strRef>
              <c:f>Sheet1!$E$35</c:f>
              <c:strCache>
                <c:ptCount val="1"/>
                <c:pt idx="0">
                  <c:v>作図用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4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Sheet1!$E$49:$E$59</c:f>
              <c:numCache>
                <c:formatCode>General</c:formatCode>
                <c:ptCount val="11"/>
                <c:pt idx="0">
                  <c:v>0</c:v>
                </c:pt>
                <c:pt idx="1">
                  <c:v>0.60000000000000009</c:v>
                </c:pt>
                <c:pt idx="2">
                  <c:v>1.2000000000000002</c:v>
                </c:pt>
                <c:pt idx="3">
                  <c:v>1.8</c:v>
                </c:pt>
                <c:pt idx="4">
                  <c:v>2.4000000000000004</c:v>
                </c:pt>
                <c:pt idx="5">
                  <c:v>3</c:v>
                </c:pt>
                <c:pt idx="6">
                  <c:v>3.6</c:v>
                </c:pt>
                <c:pt idx="7">
                  <c:v>4.2</c:v>
                </c:pt>
                <c:pt idx="8">
                  <c:v>4.8</c:v>
                </c:pt>
                <c:pt idx="9">
                  <c:v>5.3999999999999995</c:v>
                </c:pt>
                <c:pt idx="10">
                  <c:v>6</c:v>
                </c:pt>
              </c:numCache>
            </c:numRef>
          </c:xVal>
          <c:yVal>
            <c:numRef>
              <c:f>Sheet1!$F$49:$F$59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8EA-4BE8-B381-C0DFFDC40DA7}"/>
            </c:ext>
          </c:extLst>
        </c:ser>
        <c:ser>
          <c:idx val="3"/>
          <c:order val="3"/>
          <c:tx>
            <c:strRef>
              <c:f>Sheet1!$L$35</c:f>
              <c:strCache>
                <c:ptCount val="1"/>
                <c:pt idx="0">
                  <c:v>作図用2</c:v>
                </c:pt>
              </c:strCache>
            </c:strRef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Sheet1!$N$39:$N$70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3">
                  <c:v>0.60000000000000009</c:v>
                </c:pt>
                <c:pt idx="4">
                  <c:v>0.60000000000000009</c:v>
                </c:pt>
                <c:pt idx="6">
                  <c:v>1.2000000000000002</c:v>
                </c:pt>
                <c:pt idx="7">
                  <c:v>1.2000000000000002</c:v>
                </c:pt>
                <c:pt idx="9">
                  <c:v>1.8</c:v>
                </c:pt>
                <c:pt idx="10">
                  <c:v>1.8</c:v>
                </c:pt>
                <c:pt idx="12">
                  <c:v>2.4000000000000004</c:v>
                </c:pt>
                <c:pt idx="13">
                  <c:v>2.4000000000000004</c:v>
                </c:pt>
                <c:pt idx="15">
                  <c:v>3</c:v>
                </c:pt>
                <c:pt idx="16">
                  <c:v>3</c:v>
                </c:pt>
                <c:pt idx="18">
                  <c:v>3.6</c:v>
                </c:pt>
                <c:pt idx="19">
                  <c:v>3.6</c:v>
                </c:pt>
                <c:pt idx="21">
                  <c:v>4.2</c:v>
                </c:pt>
                <c:pt idx="22">
                  <c:v>4.2</c:v>
                </c:pt>
                <c:pt idx="24">
                  <c:v>4.8</c:v>
                </c:pt>
                <c:pt idx="25">
                  <c:v>4.8</c:v>
                </c:pt>
                <c:pt idx="27">
                  <c:v>5.3999999999999995</c:v>
                </c:pt>
                <c:pt idx="28">
                  <c:v>5.3999999999999995</c:v>
                </c:pt>
                <c:pt idx="30">
                  <c:v>6</c:v>
                </c:pt>
                <c:pt idx="31">
                  <c:v>6</c:v>
                </c:pt>
              </c:numCache>
            </c:numRef>
          </c:xVal>
          <c:yVal>
            <c:numRef>
              <c:f>Sheet1!$O$39:$O$70</c:f>
              <c:numCache>
                <c:formatCode>General</c:formatCode>
                <c:ptCount val="32"/>
                <c:pt idx="0">
                  <c:v>5.9325576923766503</c:v>
                </c:pt>
                <c:pt idx="1">
                  <c:v>0</c:v>
                </c:pt>
                <c:pt idx="3">
                  <c:v>9.2772617479035926</c:v>
                </c:pt>
                <c:pt idx="4">
                  <c:v>0</c:v>
                </c:pt>
                <c:pt idx="6">
                  <c:v>9.4074444414395977</c:v>
                </c:pt>
                <c:pt idx="7">
                  <c:v>0</c:v>
                </c:pt>
                <c:pt idx="9">
                  <c:v>6.2056254557282458</c:v>
                </c:pt>
                <c:pt idx="10">
                  <c:v>0</c:v>
                </c:pt>
                <c:pt idx="12">
                  <c:v>5.4999700057227887</c:v>
                </c:pt>
                <c:pt idx="13">
                  <c:v>0</c:v>
                </c:pt>
                <c:pt idx="15">
                  <c:v>5.6087701392898301</c:v>
                </c:pt>
                <c:pt idx="16">
                  <c:v>0</c:v>
                </c:pt>
                <c:pt idx="18">
                  <c:v>2.4330160046527203</c:v>
                </c:pt>
                <c:pt idx="19">
                  <c:v>0</c:v>
                </c:pt>
                <c:pt idx="21">
                  <c:v>2.312831620175301</c:v>
                </c:pt>
                <c:pt idx="22">
                  <c:v>0</c:v>
                </c:pt>
                <c:pt idx="24">
                  <c:v>7.0745089971876087</c:v>
                </c:pt>
                <c:pt idx="25">
                  <c:v>0</c:v>
                </c:pt>
                <c:pt idx="27">
                  <c:v>7.9588275249539144</c:v>
                </c:pt>
                <c:pt idx="28">
                  <c:v>0</c:v>
                </c:pt>
                <c:pt idx="30">
                  <c:v>4.6436391218061273</c:v>
                </c:pt>
                <c:pt idx="3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8EA-4BE8-B381-C0DFFDC40D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580776"/>
        <c:axId val="498579136"/>
      </c:scatterChart>
      <c:valAx>
        <c:axId val="498580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X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8579136"/>
        <c:crosses val="autoZero"/>
        <c:crossBetween val="midCat"/>
      </c:valAx>
      <c:valAx>
        <c:axId val="498579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Y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8580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361950</xdr:colOff>
      <xdr:row>17</xdr:row>
      <xdr:rowOff>217170</xdr:rowOff>
    </xdr:from>
    <xdr:to>
      <xdr:col>6</xdr:col>
      <xdr:colOff>350520</xdr:colOff>
      <xdr:row>32</xdr:row>
      <xdr:rowOff>175260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DCDC5622-6020-4F5D-A21E-4B1038EFAC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449580</xdr:colOff>
      <xdr:row>17</xdr:row>
      <xdr:rowOff>213360</xdr:rowOff>
    </xdr:from>
    <xdr:to>
      <xdr:col>10</xdr:col>
      <xdr:colOff>102870</xdr:colOff>
      <xdr:row>32</xdr:row>
      <xdr:rowOff>171450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85813D3E-2D88-42BA-B43B-11E18D7E12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11</xdr:col>
      <xdr:colOff>7620</xdr:colOff>
      <xdr:row>17</xdr:row>
      <xdr:rowOff>144780</xdr:rowOff>
    </xdr:from>
    <xdr:to>
      <xdr:col>17</xdr:col>
      <xdr:colOff>621030</xdr:colOff>
      <xdr:row>32</xdr:row>
      <xdr:rowOff>102870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B104AEBF-74E3-41F8-B2C2-353F6291A0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YF215008\AppData\Roaming\Microsoft\AddIns\FukamiAddIns3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SPLINE"/>
      <definedName name="SplineByArrayX1D"/>
      <definedName name="SplineXY"/>
      <definedName name="SplineXYByArrayX1D"/>
      <definedName name="SplineXYPar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O70"/>
  <sheetViews>
    <sheetView tabSelected="1" workbookViewId="0">
      <selection activeCell="F13" sqref="F12:F13"/>
    </sheetView>
  </sheetViews>
  <sheetFormatPr defaultRowHeight="18"/>
  <cols>
    <col min="4" max="4" width="2.8984375" customWidth="1"/>
    <col min="5" max="5" width="12.59765625" bestFit="1" customWidth="1"/>
    <col min="6" max="6" width="19.09765625" bestFit="1" customWidth="1"/>
    <col min="7" max="7" width="12" customWidth="1"/>
    <col min="8" max="8" width="12.59765625" bestFit="1" customWidth="1"/>
    <col min="9" max="9" width="19.09765625" bestFit="1" customWidth="1"/>
    <col min="10" max="10" width="21.69921875" customWidth="1"/>
    <col min="11" max="11" width="3" customWidth="1"/>
  </cols>
  <sheetData>
    <row r="1" spans="2:14" ht="18.600000000000001" thickBot="1"/>
    <row r="2" spans="2:14" ht="18.600000000000001" thickBot="1">
      <c r="B2" s="21" t="s">
        <v>0</v>
      </c>
      <c r="C2" s="22" t="s">
        <v>1</v>
      </c>
      <c r="E2" s="23" t="s">
        <v>2</v>
      </c>
      <c r="F2" s="23" t="s">
        <v>3</v>
      </c>
      <c r="H2" t="s">
        <v>8</v>
      </c>
      <c r="I2" t="s">
        <v>6</v>
      </c>
      <c r="J2" t="s">
        <v>7</v>
      </c>
      <c r="L2" s="23" t="s">
        <v>9</v>
      </c>
      <c r="M2" t="s">
        <v>10</v>
      </c>
    </row>
    <row r="3" spans="2:14" ht="18.600000000000001" thickBot="1">
      <c r="B3" s="1">
        <v>0</v>
      </c>
      <c r="C3" s="2">
        <v>5.9325576923766503</v>
      </c>
      <c r="E3" s="10">
        <v>3.5</v>
      </c>
      <c r="F3" s="11">
        <f>[1]!SPLINE(B3:B9,C3:C9,E3)</f>
        <v>2.9881228453742144</v>
      </c>
      <c r="G3" t="s">
        <v>4</v>
      </c>
      <c r="H3" s="7">
        <v>0.70470973742349496</v>
      </c>
      <c r="I3" s="12">
        <f t="array" ref="I3:I12">[1]!SplineByArrayX1D(B3:B9,C3:C9,H3:H12)</f>
        <v>9.0300024348120544</v>
      </c>
      <c r="J3" s="12">
        <f t="array" ref="J3:J12">[1]!SplineXYByArrayX1D(B3:C9,H3:H12)</f>
        <v>9.0300024348120544</v>
      </c>
      <c r="L3" s="24">
        <v>10</v>
      </c>
      <c r="M3" s="15">
        <f t="array" ref="M3:N13">[1]!SplineXYPara(B3:C9,L3)</f>
        <v>0</v>
      </c>
      <c r="N3" s="16">
        <v>5.9325576923766503</v>
      </c>
    </row>
    <row r="4" spans="2:14" ht="18.600000000000001" thickBot="1">
      <c r="B4" s="3">
        <v>1</v>
      </c>
      <c r="C4" s="4">
        <v>9.9930826853677903</v>
      </c>
      <c r="E4" s="10">
        <v>3.5</v>
      </c>
      <c r="F4" s="11">
        <f>[1]!SplineXY(B3:C9,E3)</f>
        <v>2.9881228453742144</v>
      </c>
      <c r="G4" t="s">
        <v>5</v>
      </c>
      <c r="H4" s="8">
        <v>1.1560511982687101</v>
      </c>
      <c r="I4" s="13">
        <v>9.5801786972684813</v>
      </c>
      <c r="J4" s="13">
        <v>9.5801786972684813</v>
      </c>
      <c r="M4" s="17">
        <v>0.60000000000000009</v>
      </c>
      <c r="N4" s="18">
        <v>9.2772617479035926</v>
      </c>
    </row>
    <row r="5" spans="2:14">
      <c r="B5" s="3">
        <v>2</v>
      </c>
      <c r="C5" s="4">
        <v>5.5044328013839001</v>
      </c>
      <c r="H5" s="8">
        <v>1.68490822086298</v>
      </c>
      <c r="I5" s="13">
        <v>6.7852750746420449</v>
      </c>
      <c r="J5" s="13">
        <v>6.7852750746420449</v>
      </c>
      <c r="M5" s="17">
        <v>1.2000000000000002</v>
      </c>
      <c r="N5" s="18">
        <v>9.4074444414395977</v>
      </c>
    </row>
    <row r="6" spans="2:14">
      <c r="B6" s="3">
        <v>3</v>
      </c>
      <c r="C6" s="4">
        <v>5.6087701392898301</v>
      </c>
      <c r="H6" s="8">
        <v>2.1392547386343099</v>
      </c>
      <c r="I6" s="13">
        <v>5.3308317753624825</v>
      </c>
      <c r="J6" s="13">
        <v>5.3308317753624825</v>
      </c>
      <c r="M6" s="17">
        <v>1.8</v>
      </c>
      <c r="N6" s="18">
        <v>6.2056254557282458</v>
      </c>
    </row>
    <row r="7" spans="2:14">
      <c r="B7" s="3">
        <v>4</v>
      </c>
      <c r="C7" s="4">
        <v>1.5168212366590701</v>
      </c>
      <c r="H7" s="8">
        <v>2.5835009144888099</v>
      </c>
      <c r="I7" s="13">
        <v>5.7540541073973905</v>
      </c>
      <c r="J7" s="13">
        <v>5.7540541073973905</v>
      </c>
      <c r="M7" s="17">
        <v>2.4000000000000004</v>
      </c>
      <c r="N7" s="18">
        <v>5.4999700057227887</v>
      </c>
    </row>
    <row r="8" spans="2:14">
      <c r="B8" s="3">
        <v>5</v>
      </c>
      <c r="C8" s="4">
        <v>8.1873863462790197</v>
      </c>
      <c r="H8" s="8">
        <v>3.1323095458208798</v>
      </c>
      <c r="I8" s="13">
        <v>5.1005345054442879</v>
      </c>
      <c r="J8" s="13">
        <v>5.1005345054442879</v>
      </c>
      <c r="M8" s="17">
        <v>3</v>
      </c>
      <c r="N8" s="18">
        <v>5.6087701392898301</v>
      </c>
    </row>
    <row r="9" spans="2:14" ht="18.600000000000001" thickBot="1">
      <c r="B9" s="5">
        <f>B8+1</f>
        <v>6</v>
      </c>
      <c r="C9" s="6">
        <v>4.6436391218061273</v>
      </c>
      <c r="H9" s="8">
        <v>3.2762517143659302</v>
      </c>
      <c r="I9" s="13">
        <v>4.3335933904030348</v>
      </c>
      <c r="J9" s="13">
        <v>4.3335933904030348</v>
      </c>
      <c r="M9" s="17">
        <v>3.6</v>
      </c>
      <c r="N9" s="18">
        <v>2.4330160046527203</v>
      </c>
    </row>
    <row r="10" spans="2:14">
      <c r="H10" s="8">
        <v>3.96995547976061</v>
      </c>
      <c r="I10" s="13">
        <v>1.4763932427634412</v>
      </c>
      <c r="J10" s="13">
        <v>1.4763932427634412</v>
      </c>
      <c r="M10" s="17">
        <v>4.2</v>
      </c>
      <c r="N10" s="18">
        <v>2.312831620175301</v>
      </c>
    </row>
    <row r="11" spans="2:14">
      <c r="H11" s="8">
        <v>4.5878879819555998</v>
      </c>
      <c r="I11" s="13">
        <v>5.3668864404182655</v>
      </c>
      <c r="J11" s="13">
        <v>5.3668864404182655</v>
      </c>
      <c r="M11" s="17">
        <v>4.8</v>
      </c>
      <c r="N11" s="18">
        <v>7.0745089971876087</v>
      </c>
    </row>
    <row r="12" spans="2:14" ht="18.600000000000001" thickBot="1">
      <c r="H12" s="9">
        <v>5.2947034641652602</v>
      </c>
      <c r="I12" s="14">
        <v>7.4523850453265199</v>
      </c>
      <c r="J12" s="14">
        <v>7.4523850453265199</v>
      </c>
      <c r="M12" s="17">
        <v>5.3999999999999995</v>
      </c>
      <c r="N12" s="18">
        <v>7.9588275249539144</v>
      </c>
    </row>
    <row r="13" spans="2:14" ht="18.600000000000001" thickBot="1">
      <c r="M13" s="19">
        <v>6</v>
      </c>
      <c r="N13" s="20">
        <v>4.6436391218061273</v>
      </c>
    </row>
    <row r="35" spans="5:15">
      <c r="E35" t="s">
        <v>11</v>
      </c>
      <c r="L35" t="s">
        <v>12</v>
      </c>
    </row>
    <row r="36" spans="5:15">
      <c r="E36">
        <f>E3</f>
        <v>3.5</v>
      </c>
      <c r="F36">
        <v>0</v>
      </c>
      <c r="L36">
        <f>E36</f>
        <v>3.5</v>
      </c>
      <c r="M36">
        <f>F36</f>
        <v>0</v>
      </c>
    </row>
    <row r="37" spans="5:15">
      <c r="L37">
        <f>E3</f>
        <v>3.5</v>
      </c>
      <c r="M37">
        <f>F3</f>
        <v>2.9881228453742144</v>
      </c>
    </row>
    <row r="38" spans="5:15">
      <c r="E38">
        <f t="shared" ref="E38:E47" si="0">H3</f>
        <v>0.70470973742349496</v>
      </c>
      <c r="F38">
        <v>0</v>
      </c>
    </row>
    <row r="39" spans="5:15">
      <c r="E39">
        <f t="shared" si="0"/>
        <v>1.1560511982687101</v>
      </c>
      <c r="F39">
        <v>0</v>
      </c>
      <c r="L39">
        <f ca="1">INDIRECT(CONCATENATE("R",(ROW(L39)-ROW($L$39))/3+ROW($H$3),"C",COLUMN(H$3)),FALSE)</f>
        <v>0.70470973742349496</v>
      </c>
      <c r="M39">
        <f ca="1">INDIRECT(CONCATENATE("R",(ROW(M39)-ROW($L$39))/3+ROW($H$3),"C",COLUMN(I$3)),FALSE)</f>
        <v>9.0300024348120544</v>
      </c>
      <c r="N39">
        <f ca="1">INDIRECT(CONCATENATE("R",(ROW(N39)-ROW($N$39))/3+ROW($M$3),"C",COLUMN(M$3)),FALSE)</f>
        <v>0</v>
      </c>
      <c r="O39">
        <f ca="1">INDIRECT(CONCATENATE("R",(ROW(O39)-ROW($N$39))/3+ROW($M$3),"C",COLUMN(N$3)),FALSE)</f>
        <v>5.9325576923766503</v>
      </c>
    </row>
    <row r="40" spans="5:15">
      <c r="E40">
        <f t="shared" si="0"/>
        <v>1.68490822086298</v>
      </c>
      <c r="F40">
        <v>0</v>
      </c>
      <c r="L40">
        <f ca="1">L39</f>
        <v>0.70470973742349496</v>
      </c>
      <c r="M40">
        <v>0</v>
      </c>
      <c r="N40">
        <f ca="1">N39</f>
        <v>0</v>
      </c>
      <c r="O40">
        <v>0</v>
      </c>
    </row>
    <row r="41" spans="5:15">
      <c r="E41">
        <f t="shared" si="0"/>
        <v>2.1392547386343099</v>
      </c>
      <c r="F41">
        <v>0</v>
      </c>
    </row>
    <row r="42" spans="5:15">
      <c r="E42">
        <f t="shared" si="0"/>
        <v>2.5835009144888099</v>
      </c>
      <c r="F42">
        <v>0</v>
      </c>
      <c r="L42">
        <f ca="1">INDIRECT(CONCATENATE("R",(ROW(L42)-ROW($L$39))/3+ROW($H$3),"C",COLUMN(H$3)),FALSE)</f>
        <v>1.1560511982687101</v>
      </c>
      <c r="M42">
        <f ca="1">INDIRECT(CONCATENATE("R",(ROW(M42)-ROW($L$39))/3+ROW($H$3),"C",COLUMN(I$3)),FALSE)</f>
        <v>9.5801786972684813</v>
      </c>
      <c r="N42">
        <f ca="1">INDIRECT(CONCATENATE("R",(ROW(N42)-ROW($N$39))/3+ROW($M$3),"C",COLUMN(M$3)),FALSE)</f>
        <v>0.60000000000000009</v>
      </c>
      <c r="O42">
        <f ca="1">INDIRECT(CONCATENATE("R",(ROW(O42)-ROW($N$39))/3+ROW($M$3),"C",COLUMN(N$3)),FALSE)</f>
        <v>9.2772617479035926</v>
      </c>
    </row>
    <row r="43" spans="5:15">
      <c r="E43">
        <f t="shared" si="0"/>
        <v>3.1323095458208798</v>
      </c>
      <c r="F43">
        <v>0</v>
      </c>
      <c r="L43">
        <f ca="1">L42</f>
        <v>1.1560511982687101</v>
      </c>
      <c r="M43">
        <f>M40</f>
        <v>0</v>
      </c>
      <c r="N43">
        <f ca="1">N42</f>
        <v>0.60000000000000009</v>
      </c>
      <c r="O43">
        <f>O40</f>
        <v>0</v>
      </c>
    </row>
    <row r="44" spans="5:15">
      <c r="E44">
        <f t="shared" si="0"/>
        <v>3.2762517143659302</v>
      </c>
      <c r="F44">
        <v>0</v>
      </c>
    </row>
    <row r="45" spans="5:15">
      <c r="E45">
        <f t="shared" si="0"/>
        <v>3.96995547976061</v>
      </c>
      <c r="F45">
        <v>0</v>
      </c>
      <c r="L45">
        <f ca="1">INDIRECT(CONCATENATE("R",(ROW(L45)-ROW($L$39))/3+ROW($H$3),"C",COLUMN(H$3)),FALSE)</f>
        <v>1.68490822086298</v>
      </c>
      <c r="M45">
        <f ca="1">INDIRECT(CONCATENATE("R",(ROW(M45)-ROW($L$39))/3+ROW($H$3),"C",COLUMN(I$3)),FALSE)</f>
        <v>6.7852750746420449</v>
      </c>
      <c r="N45">
        <f ca="1">INDIRECT(CONCATENATE("R",(ROW(N45)-ROW($N$39))/3+ROW($M$3),"C",COLUMN(M$3)),FALSE)</f>
        <v>1.2000000000000002</v>
      </c>
      <c r="O45">
        <f ca="1">INDIRECT(CONCATENATE("R",(ROW(O45)-ROW($N$39))/3+ROW($M$3),"C",COLUMN(N$3)),FALSE)</f>
        <v>9.4074444414395977</v>
      </c>
    </row>
    <row r="46" spans="5:15">
      <c r="E46">
        <f t="shared" si="0"/>
        <v>4.5878879819555998</v>
      </c>
      <c r="F46">
        <v>0</v>
      </c>
      <c r="L46">
        <f ca="1">L45</f>
        <v>1.68490822086298</v>
      </c>
      <c r="M46">
        <f>M43</f>
        <v>0</v>
      </c>
      <c r="N46">
        <f ca="1">N45</f>
        <v>1.2000000000000002</v>
      </c>
      <c r="O46">
        <f>O43</f>
        <v>0</v>
      </c>
    </row>
    <row r="47" spans="5:15">
      <c r="E47">
        <f t="shared" si="0"/>
        <v>5.2947034641652602</v>
      </c>
      <c r="F47">
        <v>0</v>
      </c>
    </row>
    <row r="48" spans="5:15">
      <c r="L48">
        <f ca="1">INDIRECT(CONCATENATE("R",(ROW(L48)-ROW($L$39))/3+ROW($H$3),"C",COLUMN(H$3)),FALSE)</f>
        <v>2.1392547386343099</v>
      </c>
      <c r="M48">
        <f ca="1">INDIRECT(CONCATENATE("R",(ROW(M48)-ROW($L$39))/3+ROW($H$3),"C",COLUMN(I$3)),FALSE)</f>
        <v>5.3308317753624825</v>
      </c>
      <c r="N48">
        <f ca="1">INDIRECT(CONCATENATE("R",(ROW(N48)-ROW($N$39))/3+ROW($M$3),"C",COLUMN(M$3)),FALSE)</f>
        <v>1.8</v>
      </c>
      <c r="O48">
        <f ca="1">INDIRECT(CONCATENATE("R",(ROW(O48)-ROW($N$39))/3+ROW($M$3),"C",COLUMN(N$3)),FALSE)</f>
        <v>6.2056254557282458</v>
      </c>
    </row>
    <row r="49" spans="5:15">
      <c r="E49">
        <f>M3</f>
        <v>0</v>
      </c>
      <c r="F49">
        <v>0</v>
      </c>
      <c r="L49">
        <f ca="1">L48</f>
        <v>2.1392547386343099</v>
      </c>
      <c r="M49">
        <f>M46</f>
        <v>0</v>
      </c>
      <c r="N49">
        <f ca="1">N48</f>
        <v>1.8</v>
      </c>
      <c r="O49">
        <f>O46</f>
        <v>0</v>
      </c>
    </row>
    <row r="50" spans="5:15">
      <c r="E50">
        <f t="shared" ref="E50:E59" si="1">M4</f>
        <v>0.60000000000000009</v>
      </c>
      <c r="F50">
        <v>0</v>
      </c>
    </row>
    <row r="51" spans="5:15">
      <c r="E51">
        <f t="shared" si="1"/>
        <v>1.2000000000000002</v>
      </c>
      <c r="F51">
        <v>0</v>
      </c>
      <c r="L51">
        <f ca="1">INDIRECT(CONCATENATE("R",(ROW(L51)-ROW($L$39))/3+ROW($H$3),"C",COLUMN(H$3)),FALSE)</f>
        <v>2.5835009144888099</v>
      </c>
      <c r="M51">
        <f ca="1">INDIRECT(CONCATENATE("R",(ROW(M51)-ROW($L$39))/3+ROW($H$3),"C",COLUMN(I$3)),FALSE)</f>
        <v>5.7540541073973905</v>
      </c>
      <c r="N51">
        <f ca="1">INDIRECT(CONCATENATE("R",(ROW(N51)-ROW($N$39))/3+ROW($M$3),"C",COLUMN(M$3)),FALSE)</f>
        <v>2.4000000000000004</v>
      </c>
      <c r="O51">
        <f ca="1">INDIRECT(CONCATENATE("R",(ROW(O51)-ROW($N$39))/3+ROW($M$3),"C",COLUMN(N$3)),FALSE)</f>
        <v>5.4999700057227887</v>
      </c>
    </row>
    <row r="52" spans="5:15">
      <c r="E52">
        <f t="shared" si="1"/>
        <v>1.8</v>
      </c>
      <c r="F52">
        <v>0</v>
      </c>
      <c r="L52">
        <f ca="1">L51</f>
        <v>2.5835009144888099</v>
      </c>
      <c r="M52">
        <f>M49</f>
        <v>0</v>
      </c>
      <c r="N52">
        <f ca="1">N51</f>
        <v>2.4000000000000004</v>
      </c>
      <c r="O52">
        <f>O49</f>
        <v>0</v>
      </c>
    </row>
    <row r="53" spans="5:15">
      <c r="E53">
        <f t="shared" si="1"/>
        <v>2.4000000000000004</v>
      </c>
      <c r="F53">
        <v>0</v>
      </c>
    </row>
    <row r="54" spans="5:15">
      <c r="E54">
        <f t="shared" si="1"/>
        <v>3</v>
      </c>
      <c r="F54">
        <v>0</v>
      </c>
      <c r="L54">
        <f ca="1">INDIRECT(CONCATENATE("R",(ROW(L54)-ROW($L$39))/3+ROW($H$3),"C",COLUMN(H$3)),FALSE)</f>
        <v>3.1323095458208798</v>
      </c>
      <c r="M54">
        <f ca="1">INDIRECT(CONCATENATE("R",(ROW(M54)-ROW($L$39))/3+ROW($H$3),"C",COLUMN(I$3)),FALSE)</f>
        <v>5.1005345054442879</v>
      </c>
      <c r="N54">
        <f ca="1">INDIRECT(CONCATENATE("R",(ROW(N54)-ROW($N$39))/3+ROW($M$3),"C",COLUMN(M$3)),FALSE)</f>
        <v>3</v>
      </c>
      <c r="O54">
        <f ca="1">INDIRECT(CONCATENATE("R",(ROW(O54)-ROW($N$39))/3+ROW($M$3),"C",COLUMN(N$3)),FALSE)</f>
        <v>5.6087701392898301</v>
      </c>
    </row>
    <row r="55" spans="5:15">
      <c r="E55">
        <f t="shared" si="1"/>
        <v>3.6</v>
      </c>
      <c r="F55">
        <v>0</v>
      </c>
      <c r="L55">
        <f ca="1">L54</f>
        <v>3.1323095458208798</v>
      </c>
      <c r="M55">
        <f>M52</f>
        <v>0</v>
      </c>
      <c r="N55">
        <f ca="1">N54</f>
        <v>3</v>
      </c>
      <c r="O55">
        <f>O52</f>
        <v>0</v>
      </c>
    </row>
    <row r="56" spans="5:15">
      <c r="E56">
        <f t="shared" si="1"/>
        <v>4.2</v>
      </c>
      <c r="F56">
        <v>0</v>
      </c>
    </row>
    <row r="57" spans="5:15">
      <c r="E57">
        <f t="shared" si="1"/>
        <v>4.8</v>
      </c>
      <c r="F57">
        <v>0</v>
      </c>
      <c r="L57">
        <f ca="1">INDIRECT(CONCATENATE("R",(ROW(L57)-ROW($L$39))/3+ROW($H$3),"C",COLUMN(H$3)),FALSE)</f>
        <v>3.2762517143659302</v>
      </c>
      <c r="M57">
        <f ca="1">INDIRECT(CONCATENATE("R",(ROW(M57)-ROW($L$39))/3+ROW($H$3),"C",COLUMN(I$3)),FALSE)</f>
        <v>4.3335933904030348</v>
      </c>
      <c r="N57">
        <f ca="1">INDIRECT(CONCATENATE("R",(ROW(N57)-ROW($N$39))/3+ROW($M$3),"C",COLUMN(M$3)),FALSE)</f>
        <v>3.6</v>
      </c>
      <c r="O57">
        <f ca="1">INDIRECT(CONCATENATE("R",(ROW(O57)-ROW($N$39))/3+ROW($M$3),"C",COLUMN(N$3)),FALSE)</f>
        <v>2.4330160046527203</v>
      </c>
    </row>
    <row r="58" spans="5:15">
      <c r="E58">
        <f t="shared" si="1"/>
        <v>5.3999999999999995</v>
      </c>
      <c r="F58">
        <v>0</v>
      </c>
      <c r="L58">
        <f ca="1">L57</f>
        <v>3.2762517143659302</v>
      </c>
      <c r="M58">
        <f>M55</f>
        <v>0</v>
      </c>
      <c r="N58">
        <f ca="1">N57</f>
        <v>3.6</v>
      </c>
      <c r="O58">
        <f>O55</f>
        <v>0</v>
      </c>
    </row>
    <row r="59" spans="5:15">
      <c r="E59">
        <f t="shared" si="1"/>
        <v>6</v>
      </c>
      <c r="F59">
        <v>0</v>
      </c>
    </row>
    <row r="60" spans="5:15">
      <c r="L60">
        <f ca="1">INDIRECT(CONCATENATE("R",(ROW(L60)-ROW($L$39))/3+ROW($H$3),"C",COLUMN(H$3)),FALSE)</f>
        <v>3.96995547976061</v>
      </c>
      <c r="M60">
        <f ca="1">INDIRECT(CONCATENATE("R",(ROW(M60)-ROW($L$39))/3+ROW($H$3),"C",COLUMN(I$3)),FALSE)</f>
        <v>1.4763932427634412</v>
      </c>
      <c r="N60">
        <f ca="1">INDIRECT(CONCATENATE("R",(ROW(N60)-ROW($N$39))/3+ROW($M$3),"C",COLUMN(M$3)),FALSE)</f>
        <v>4.2</v>
      </c>
      <c r="O60">
        <f ca="1">INDIRECT(CONCATENATE("R",(ROW(O60)-ROW($N$39))/3+ROW($M$3),"C",COLUMN(N$3)),FALSE)</f>
        <v>2.312831620175301</v>
      </c>
    </row>
    <row r="61" spans="5:15">
      <c r="L61">
        <f ca="1">L60</f>
        <v>3.96995547976061</v>
      </c>
      <c r="M61">
        <f>M58</f>
        <v>0</v>
      </c>
      <c r="N61">
        <f ca="1">N60</f>
        <v>4.2</v>
      </c>
      <c r="O61">
        <f>O58</f>
        <v>0</v>
      </c>
    </row>
    <row r="63" spans="5:15">
      <c r="L63">
        <f ca="1">INDIRECT(CONCATENATE("R",(ROW(L63)-ROW($L$39))/3+ROW($H$3),"C",COLUMN(H$3)),FALSE)</f>
        <v>4.5878879819555998</v>
      </c>
      <c r="M63">
        <f ca="1">INDIRECT(CONCATENATE("R",(ROW(M63)-ROW($L$39))/3+ROW($H$3),"C",COLUMN(I$3)),FALSE)</f>
        <v>5.3668864404182655</v>
      </c>
      <c r="N63">
        <f ca="1">INDIRECT(CONCATENATE("R",(ROW(N63)-ROW($N$39))/3+ROW($M$3),"C",COLUMN(M$3)),FALSE)</f>
        <v>4.8</v>
      </c>
      <c r="O63">
        <f ca="1">INDIRECT(CONCATENATE("R",(ROW(O63)-ROW($N$39))/3+ROW($M$3),"C",COLUMN(N$3)),FALSE)</f>
        <v>7.0745089971876087</v>
      </c>
    </row>
    <row r="64" spans="5:15">
      <c r="L64">
        <f ca="1">L63</f>
        <v>4.5878879819555998</v>
      </c>
      <c r="M64">
        <f>M61</f>
        <v>0</v>
      </c>
      <c r="N64">
        <f ca="1">N63</f>
        <v>4.8</v>
      </c>
      <c r="O64">
        <f>O61</f>
        <v>0</v>
      </c>
    </row>
    <row r="66" spans="12:15">
      <c r="L66">
        <f ca="1">INDIRECT(CONCATENATE("R",(ROW(L66)-ROW($L$39))/3+ROW($H$3),"C",COLUMN(H$3)),FALSE)</f>
        <v>5.2947034641652602</v>
      </c>
      <c r="M66">
        <f ca="1">INDIRECT(CONCATENATE("R",(ROW(M66)-ROW($L$39))/3+ROW($H$3),"C",COLUMN(I$3)),FALSE)</f>
        <v>7.4523850453265199</v>
      </c>
      <c r="N66">
        <f ca="1">INDIRECT(CONCATENATE("R",(ROW(N66)-ROW($N$39))/3+ROW($M$3),"C",COLUMN(M$3)),FALSE)</f>
        <v>5.3999999999999995</v>
      </c>
      <c r="O66">
        <f ca="1">INDIRECT(CONCATENATE("R",(ROW(O66)-ROW($N$39))/3+ROW($M$3),"C",COLUMN(N$3)),FALSE)</f>
        <v>7.9588275249539144</v>
      </c>
    </row>
    <row r="67" spans="12:15">
      <c r="L67">
        <f ca="1">L66</f>
        <v>5.2947034641652602</v>
      </c>
      <c r="M67">
        <f>M64</f>
        <v>0</v>
      </c>
      <c r="N67">
        <f ca="1">N66</f>
        <v>5.3999999999999995</v>
      </c>
      <c r="O67">
        <f>O64</f>
        <v>0</v>
      </c>
    </row>
    <row r="69" spans="12:15">
      <c r="N69">
        <f ca="1">INDIRECT(CONCATENATE("R",(ROW(N69)-ROW($N$39))/3+ROW($M$3),"C",COLUMN(M$3)),FALSE)</f>
        <v>6</v>
      </c>
      <c r="O69">
        <f ca="1">INDIRECT(CONCATENATE("R",(ROW(O69)-ROW($N$39))/3+ROW($M$3),"C",COLUMN(N$3)),FALSE)</f>
        <v>4.6436391218061273</v>
      </c>
    </row>
    <row r="70" spans="12:15">
      <c r="N70">
        <f ca="1">N69</f>
        <v>6</v>
      </c>
      <c r="O70">
        <f>O67</f>
        <v>0</v>
      </c>
    </row>
  </sheetData>
  <phoneticPr fontId="1"/>
  <pageMargins left="0.7" right="0.7" top="0.75" bottom="0.75" header="0.3" footer="0.3"/>
  <pageSetup paperSize="9" orientation="portrait" copies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深見 祐士 YF.</cp:lastModifiedBy>
  <dcterms:created xsi:type="dcterms:W3CDTF">2015-06-05T18:19:34Z</dcterms:created>
  <dcterms:modified xsi:type="dcterms:W3CDTF">2021-08-10T05:12:41Z</dcterms:modified>
</cp:coreProperties>
</file>